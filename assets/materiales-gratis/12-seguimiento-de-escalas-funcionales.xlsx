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  <sheet name="Referencia de Escal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<sst xmlns="http://schemas.openxmlformats.org/spreadsheetml/2006/main" count="63" uniqueCount="56">
  <si>
    <t xml:space="preserve">FISIOTECK — Seguimiento de Escalas Funcionales</t>
  </si>
  <si>
    <t xml:space="preserve">Registro y gráfica de escalas de valoración funcional</t>
  </si>
  <si>
    <t xml:space="preserve">INSTRUCCIONES DE USO</t>
  </si>
  <si>
    <t xml:space="preserve">1. Ve a la hoja «Registro» para capturar los puntajes de las escalas funcionales.</t>
  </si>
  <si>
    <t xml:space="preserve">2. Selecciona la escala del menú desplegable y registra el puntaje total.</t>
  </si>
  <si>
    <t xml:space="preserve">3. La columna Interpretación muestra automáticamente el resultado según la escala.</t>
  </si>
  <si>
    <t xml:space="preserve">4. La gráfica se genera conforme registras los valores.</t>
  </si>
  <si>
    <t xml:space="preserve">5. Consulta la hoja «Referencia de Escalas» para conocer cada escala.</t>
  </si>
  <si>
    <t xml:space="preserve">NOTA</t>
  </si>
  <si>
    <t xml:space="preserve">Esta hoja NO incluye los reactivos (preguntas) de cada escala.</t>
  </si>
  <si>
    <t xml:space="preserve">Registra únicamente el puntaje total obtenido tras aplicar el instrumento original.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</si>
  <si>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</si>
  <si>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</si>
  <si>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Registro de puntajes y evolución</t>
  </si>
  <si>
    <t xml:space="preserve">Paciente:</t>
  </si>
  <si>
    <t xml:space="preserve">Evaluador:</t>
  </si>
  <si>
    <t xml:space="preserve">#</t>
  </si>
  <si>
    <t xml:space="preserve">Fecha</t>
  </si>
  <si>
    <t xml:space="preserve">Escala</t>
  </si>
  <si>
    <t xml:space="preserve">Puntaje Total</t>
  </si>
  <si>
    <t xml:space="preserve">Interpretación</t>
  </si>
  <si>
    <t xml:space="preserve">Observaciones</t>
  </si>
  <si>
    <t xml:space="preserve">FISIOTECK — Referencia de Escalas Funcionales</t>
  </si>
  <si>
    <t xml:space="preserve">Nombre, propósito e interpretación general de cada escala</t>
  </si>
  <si>
    <t xml:space="preserve">Nota: No se incluyen los reactivos de las escalas. Consulte las fuentes originales para su aplicación.</t>
  </si>
  <si>
    <t xml:space="preserve">¿Qué mide?</t>
  </si>
  <si>
    <t xml:space="preserve">¿Cuándo usarla?</t>
  </si>
  <si>
    <t xml:space="preserve">Interpretación general (puntaje total)</t>
  </si>
  <si>
    <t xml:space="preserve">Oswestry (ODI)</t>
  </si>
  <si>
    <t xml:space="preserve">Discapacidad lumbar y su impacto en la vida diaria</t>
  </si>
  <si>
    <t xml:space="preserve">Dolor lumbar crónico o agudo</t>
  </si>
  <si>
    <t xml:space="preserve">0-20: Mínima | 21-40: Moderada | 41-60: Severa | 61-80: Incapacitante | 81-100: Limitación máxima</t>
  </si>
  <si>
    <t xml:space="preserve">DASH</t>
  </si>
  <si>
    <t xml:space="preserve">Función del miembro superior (hombro, codo, muñeca, mano)</t>
  </si>
  <si>
    <t xml:space="preserve">Lesiones o patologías de miembro superior</t>
  </si>
  <si>
    <t xml:space="preserve">0-25: Mínima | 26-50: Moderada | 51-75: Severa | 76-100: Extrema</t>
  </si>
  <si>
    <t xml:space="preserve">Barthel</t>
  </si>
  <si>
    <t xml:space="preserve">Independencia en actividades básicas de la vida diaria</t>
  </si>
  <si>
    <t xml:space="preserve">Pacientes neurológicos, geriátricos o con limitación funcional</t>
  </si>
  <si>
    <t xml:space="preserve">0-20: Total | 21-60: Severa | 61-90: Moderada | 91-99: Leve | 100: Independiente</t>
  </si>
  <si>
    <t xml:space="preserve">Tinetti</t>
  </si>
  <si>
    <t xml:space="preserve">Equilibrio y marcha; riesgo de caídas</t>
  </si>
  <si>
    <t xml:space="preserve">Adultos mayores o pacientes con alteración del equilibrio</t>
  </si>
  <si>
    <t xml:space="preserve">0-18: Alto riesgo | 19-24: Riesgo moderado | 25-28: Bajo riesgo</t>
  </si>
  <si>
    <t xml:space="preserve">Berg</t>
  </si>
  <si>
    <t xml:space="preserve">Equilibrio funcional estático y dinámico</t>
  </si>
  <si>
    <t xml:space="preserve">Adultos mayores, pacientes neurológicos o de rehabilitación</t>
  </si>
  <si>
    <t xml:space="preserve">0-20: Alto riesgo caída | 21-40: Riesgo moderado | 41-56: Bajo riesgo</t>
  </si>
  <si>
    <t xml:space="preserve">SF-36</t>
  </si>
  <si>
    <t xml:space="preserve">Calidad de vida relacionada con la salud (8 dimensiones)</t>
  </si>
  <si>
    <t xml:space="preserve">Evaluación integral de calidad de vida</t>
  </si>
  <si>
    <t xml:space="preserve">0-50: Baja | 51-75: Moderada | 76-100: Buena calidad de vida</t>
  </si>
  <si>
    <t xml:space="preserve">WOMAC</t>
  </si>
  <si>
    <t xml:space="preserve">Dolor, rigidez y función en osteoartritis de cadera y rodilla</t>
  </si>
  <si>
    <t xml:space="preserve">Pacientes con artrosis de miembro inferior</t>
  </si>
  <si>
    <t xml:space="preserve">0-25: Leve | 26-50: Moderada | 51-75: Severa | 76-100: Extrema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</si>
</sst>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2"/>
      <color rgb="FF10223A"/>
      <name val="Arial"/>
      <family val="0"/>
      <charset val="1"/>
    </font>
    <font>
      <b val="true"/>
      <sz val="10"/>
      <color rgb="FF1022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C2760B"/>
      <name val="Arial"/>
      <family val="0"/>
      <charset val="1"/>
    </font>
    <font>
      <b val="true"/>
      <sz val="10"/>
      <color rgb="FF0A3E6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760B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Puntajes Funcionales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Registro!D7</c:f>
              <c:strCache>
                <c:ptCount val="1"/>
                <c:pt idx="0">
                  <c:v>Puntaje Total</c:v>
                </c:pt>
              </c:strCache>
            </c:strRef>
          </c:tx>
          <c:spPr>
            <a:solidFill>
              <a:srgbClr val="0d5fa0"/>
            </a:solidFill>
            <a:ln w="24840">
              <a:solidFill>
                <a:srgbClr val="0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Registro!$B$8:$B$27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Registro!$D$8:$D$27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257676"/>
        <c:axId val="65258766"/>
      </c:lineChart>
      <c:catAx>
        <c:axId val="69257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8766"/>
        <c:crosses val="autoZero"/>
        <c:auto val="1"/>
        <c:lblAlgn val="ctr"/>
        <c:lblOffset val="100"/>
        <c:noMultiLvlLbl val="0"/>
      </c:catAx>
      <c:valAx>
        <c:axId val="65258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Puntaje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57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6</xdr:col>
      <xdr:colOff>259560</xdr:colOff>
      <xdr:row>51</xdr:row>
      <xdr:rowOff>128520</xdr:rowOff>
    </xdr:to>
    <xdr:graphicFrame>
      <xdr:nvGraphicFramePr>
        <xdr:cNvPr id="0" name="Chart 1"/>
        <xdr:cNvGraphicFramePr/>
      </xdr:nvGraphicFramePr>
      <xdr:xfrm>
        <a:off x="0" y="8458200"/>
        <a:ext cx="89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 t="s">
        <v>10</v>
      </c>
      <c r="B15" s="3"/>
      <c r="C15" s="3"/>
      <c r="D15" s="3"/>
      <c r="E15" s="3"/>
      <c r="F15" s="3"/>
      <c r="G15" s="3"/>
      <c r="H15" s="3"/>
      <c r="I15" s="3"/>
      <c r="J15" s="3"/>
    </row>
    <row r="17" customFormat="false" ht="15" hidden="false" customHeight="false" outlineLevel="0" collapsed="false">
      <c r="A17" s="5" t="s">
        <v>11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6" t="s">
        <v>12</v>
      </c>
      <c r="B18" s="6"/>
      <c r="C18" s="6"/>
      <c r="D18" s="6"/>
      <c r="E18" s="6"/>
      <c r="F18" s="6"/>
      <c r="G18" s="6"/>
      <c r="H18" s="6"/>
      <c r="I18" s="6"/>
      <c r="J18" s="6"/>
    </row>
  </sheetData>
  <mergeCells count="16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7" t="s">
        <v>14</v>
      </c>
      <c r="B4" s="8"/>
      <c r="C4" s="8"/>
    </row>
    <row r="5" customFormat="false" ht="25.5" hidden="false" customHeight="true" outlineLevel="0" collapsed="false">
      <c r="A5" s="7" t="s">
        <v>15</v>
      </c>
      <c r="B5" s="8"/>
      <c r="C5" s="8"/>
    </row>
    <row r="6" customFormat="false" ht="7.5" hidden="false" customHeight="true" outlineLevel="0" collapsed="false"/>
    <row r="7" customFormat="false" ht="27.75" hidden="false" customHeight="true" outlineLevel="0" collapsed="false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</row>
    <row r="8" customFormat="false" ht="24" hidden="false" customHeight="true" outlineLevel="0" collapsed="false">
      <c r="A8" s="10" t="n">
        <v>1</v>
      </c>
      <c r="B8" s="11"/>
      <c r="C8" s="12"/>
      <c r="D8" s="13"/>
      <c r="E8" s="14" t="str">
        <f aca="false">IF(C8="","",IF(C8="Oswestry",IF(D8&lt;=20,"Mínima discapacidad",IF(D8&lt;=40,"Discapacidad moderada",IF(D8&lt;=60,"Discapacidad severa",IF(D8&lt;=80,"Incapacitante","Limitación máxima")))),"")&amp;IF(C8="DASH",IF(D8&lt;=25,"Discapacidad mínima",IF(D8&lt;=50,"Discapacidad moderada",IF(D8&lt;=75,"Discapacidad severa","Discapacidad extrema"))),"")&amp;IF(C8="Barthel",IF(D8&lt;=20,"Dependencia total",IF(D8&lt;=60,"Dependencia severa",IF(D8&lt;=90,"Dependencia moderada",IF(D8&lt;=99,"Dependencia leve","Independiente")))),"")&amp;IF(C8="Tinetti",IF(D8&lt;=18,"Alto riesgo de caída",IF(D8&lt;=24,"Riesgo moderado","Bajo riesgo de caída")),"")&amp;IF(C8="Berg",IF(D8&lt;=20,"Alto riesgo de caída",IF(D8&lt;=40,"Riesgo moderado","Bajo riesgo de caída")),"")&amp;IF(C8="SF-36",IF(D8&lt;=50,"Baja calidad de vida",IF(D8&lt;=75,"Calidad moderada","Buena calidad de vida")),"")&amp;IF(C8="WOMAC",IF(D8&lt;=25,"Afectación leve",IF(D8&lt;=50,"Afectación moderada",IF(D8&lt;=75,"Afectación severa","Afectación extrema"))),""))</f>
        <v/>
      </c>
      <c r="F8" s="15"/>
    </row>
    <row r="9" customFormat="false" ht="24" hidden="false" customHeight="true" outlineLevel="0" collapsed="false">
      <c r="A9" s="16" t="n">
        <v>2</v>
      </c>
      <c r="B9" s="11"/>
      <c r="C9" s="12"/>
      <c r="D9" s="13"/>
      <c r="E9" s="17" t="str">
        <f aca="false">IF(C9="","",IF(C9="Oswestry",IF(D9&lt;=20,"Mínima discapacidad",IF(D9&lt;=40,"Discapacidad moderada",IF(D9&lt;=60,"Discapacidad severa",IF(D9&lt;=80,"Incapacitante","Limitación máxima")))),"")&amp;IF(C9="DASH",IF(D9&lt;=25,"Discapacidad mínima",IF(D9&lt;=50,"Discapacidad moderada",IF(D9&lt;=75,"Discapacidad severa","Discapacidad extrema"))),"")&amp;IF(C9="Barthel",IF(D9&lt;=20,"Dependencia total",IF(D9&lt;=60,"Dependencia severa",IF(D9&lt;=90,"Dependencia moderada",IF(D9&lt;=99,"Dependencia leve","Independiente")))),"")&amp;IF(C9="Tinetti",IF(D9&lt;=18,"Alto riesgo de caída",IF(D9&lt;=24,"Riesgo moderado","Bajo riesgo de caída")),"")&amp;IF(C9="Berg",IF(D9&lt;=20,"Alto riesgo de caída",IF(D9&lt;=40,"Riesgo moderado","Bajo riesgo de caída")),"")&amp;IF(C9="SF-36",IF(D9&lt;=50,"Baja calidad de vida",IF(D9&lt;=75,"Calidad moderada","Buena calidad de vida")),"")&amp;IF(C9="WOMAC",IF(D9&lt;=25,"Afectación leve",IF(D9&lt;=50,"Afectación moderada",IF(D9&lt;=75,"Afectación severa","Afectación extrema"))),""))</f>
        <v/>
      </c>
      <c r="F9" s="15"/>
    </row>
    <row r="10" customFormat="false" ht="24" hidden="false" customHeight="true" outlineLevel="0" collapsed="false">
      <c r="A10" s="10" t="n">
        <v>3</v>
      </c>
      <c r="B10" s="11"/>
      <c r="C10" s="12"/>
      <c r="D10" s="13"/>
      <c r="E10" s="14" t="str">
        <f aca="false">IF(C10="","",IF(C10="Oswestry",IF(D10&lt;=20,"Mínima discapacidad",IF(D10&lt;=40,"Discapacidad moderada",IF(D10&lt;=60,"Discapacidad severa",IF(D10&lt;=80,"Incapacitante","Limitación máxima")))),"")&amp;IF(C10="DASH",IF(D10&lt;=25,"Discapacidad mínima",IF(D10&lt;=50,"Discapacidad moderada",IF(D10&lt;=75,"Discapacidad severa","Discapacidad extrema"))),"")&amp;IF(C10="Barthel",IF(D10&lt;=20,"Dependencia total",IF(D10&lt;=60,"Dependencia severa",IF(D10&lt;=90,"Dependencia moderada",IF(D10&lt;=99,"Dependencia leve","Independiente")))),"")&amp;IF(C10="Tinetti",IF(D10&lt;=18,"Alto riesgo de caída",IF(D10&lt;=24,"Riesgo moderado","Bajo riesgo de caída")),"")&amp;IF(C10="Berg",IF(D10&lt;=20,"Alto riesgo de caída",IF(D10&lt;=40,"Riesgo moderado","Bajo riesgo de caída")),"")&amp;IF(C10="SF-36",IF(D10&lt;=50,"Baja calidad de vida",IF(D10&lt;=75,"Calidad moderada","Buena calidad de vida")),"")&amp;IF(C10="WOMAC",IF(D10&lt;=25,"Afectación leve",IF(D10&lt;=50,"Afectación moderada",IF(D10&lt;=75,"Afectación severa","Afectación extrema"))),""))</f>
        <v/>
      </c>
      <c r="F10" s="15"/>
    </row>
    <row r="11" customFormat="false" ht="24" hidden="false" customHeight="true" outlineLevel="0" collapsed="false">
      <c r="A11" s="16" t="n">
        <v>4</v>
      </c>
      <c r="B11" s="11"/>
      <c r="C11" s="12"/>
      <c r="D11" s="13"/>
      <c r="E11" s="17" t="str">
        <f aca="false">IF(C11="","",IF(C11="Oswestry",IF(D11&lt;=20,"Mínima discapacidad",IF(D11&lt;=40,"Discapacidad moderada",IF(D11&lt;=60,"Discapacidad severa",IF(D11&lt;=80,"Incapacitante","Limitación máxima")))),"")&amp;IF(C11="DASH",IF(D11&lt;=25,"Discapacidad mínima",IF(D11&lt;=50,"Discapacidad moderada",IF(D11&lt;=75,"Discapacidad severa","Discapacidad extrema"))),"")&amp;IF(C11="Barthel",IF(D11&lt;=20,"Dependencia total",IF(D11&lt;=60,"Dependencia severa",IF(D11&lt;=90,"Dependencia moderada",IF(D11&lt;=99,"Dependencia leve","Independiente")))),"")&amp;IF(C11="Tinetti",IF(D11&lt;=18,"Alto riesgo de caída",IF(D11&lt;=24,"Riesgo moderado","Bajo riesgo de caída")),"")&amp;IF(C11="Berg",IF(D11&lt;=20,"Alto riesgo de caída",IF(D11&lt;=40,"Riesgo moderado","Bajo riesgo de caída")),"")&amp;IF(C11="SF-36",IF(D11&lt;=50,"Baja calidad de vida",IF(D11&lt;=75,"Calidad moderada","Buena calidad de vida")),"")&amp;IF(C11="WOMAC",IF(D11&lt;=25,"Afectación leve",IF(D11&lt;=50,"Afectación moderada",IF(D11&lt;=75,"Afectación severa","Afectación extrema"))),""))</f>
        <v/>
      </c>
      <c r="F11" s="15"/>
    </row>
    <row r="12" customFormat="false" ht="24" hidden="false" customHeight="true" outlineLevel="0" collapsed="false">
      <c r="A12" s="10" t="n">
        <v>5</v>
      </c>
      <c r="B12" s="11"/>
      <c r="C12" s="12"/>
      <c r="D12" s="13"/>
      <c r="E12" s="14" t="str">
        <f aca="false">IF(C12="","",IF(C12="Oswestry",IF(D12&lt;=20,"Mínima discapacidad",IF(D12&lt;=40,"Discapacidad moderada",IF(D12&lt;=60,"Discapacidad severa",IF(D12&lt;=80,"Incapacitante","Limitación máxima")))),"")&amp;IF(C12="DASH",IF(D12&lt;=25,"Discapacidad mínima",IF(D12&lt;=50,"Discapacidad moderada",IF(D12&lt;=75,"Discapacidad severa","Discapacidad extrema"))),"")&amp;IF(C12="Barthel",IF(D12&lt;=20,"Dependencia total",IF(D12&lt;=60,"Dependencia severa",IF(D12&lt;=90,"Dependencia moderada",IF(D12&lt;=99,"Dependencia leve","Independiente")))),"")&amp;IF(C12="Tinetti",IF(D12&lt;=18,"Alto riesgo de caída",IF(D12&lt;=24,"Riesgo moderado","Bajo riesgo de caída")),"")&amp;IF(C12="Berg",IF(D12&lt;=20,"Alto riesgo de caída",IF(D12&lt;=40,"Riesgo moderado","Bajo riesgo de caída")),"")&amp;IF(C12="SF-36",IF(D12&lt;=50,"Baja calidad de vida",IF(D12&lt;=75,"Calidad moderada","Buena calidad de vida")),"")&amp;IF(C12="WOMAC",IF(D12&lt;=25,"Afectación leve",IF(D12&lt;=50,"Afectación moderada",IF(D12&lt;=75,"Afectación severa","Afectación extrema"))),""))</f>
        <v/>
      </c>
      <c r="F12" s="15"/>
    </row>
    <row r="13" customFormat="false" ht="24" hidden="false" customHeight="true" outlineLevel="0" collapsed="false">
      <c r="A13" s="16" t="n">
        <v>6</v>
      </c>
      <c r="B13" s="11"/>
      <c r="C13" s="12"/>
      <c r="D13" s="13"/>
      <c r="E13" s="17" t="str">
        <f aca="false">IF(C13="","",IF(C13="Oswestry",IF(D13&lt;=20,"Mínima discapacidad",IF(D13&lt;=40,"Discapacidad moderada",IF(D13&lt;=60,"Discapacidad severa",IF(D13&lt;=80,"Incapacitante","Limitación máxima")))),"")&amp;IF(C13="DASH",IF(D13&lt;=25,"Discapacidad mínima",IF(D13&lt;=50,"Discapacidad moderada",IF(D13&lt;=75,"Discapacidad severa","Discapacidad extrema"))),"")&amp;IF(C13="Barthel",IF(D13&lt;=20,"Dependencia total",IF(D13&lt;=60,"Dependencia severa",IF(D13&lt;=90,"Dependencia moderada",IF(D13&lt;=99,"Dependencia leve","Independiente")))),"")&amp;IF(C13="Tinetti",IF(D13&lt;=18,"Alto riesgo de caída",IF(D13&lt;=24,"Riesgo moderado","Bajo riesgo de caída")),"")&amp;IF(C13="Berg",IF(D13&lt;=20,"Alto riesgo de caída",IF(D13&lt;=40,"Riesgo moderado","Bajo riesgo de caída")),"")&amp;IF(C13="SF-36",IF(D13&lt;=50,"Baja calidad de vida",IF(D13&lt;=75,"Calidad moderada","Buena calidad de vida")),"")&amp;IF(C13="WOMAC",IF(D13&lt;=25,"Afectación leve",IF(D13&lt;=50,"Afectación moderada",IF(D13&lt;=75,"Afectación severa","Afectación extrema"))),""))</f>
        <v/>
      </c>
      <c r="F13" s="15"/>
    </row>
    <row r="14" customFormat="false" ht="24" hidden="false" customHeight="true" outlineLevel="0" collapsed="false">
      <c r="A14" s="10" t="n">
        <v>7</v>
      </c>
      <c r="B14" s="11"/>
      <c r="C14" s="12"/>
      <c r="D14" s="13"/>
      <c r="E14" s="14" t="str">
        <f aca="false">IF(C14="","",IF(C14="Oswestry",IF(D14&lt;=20,"Mínima discapacidad",IF(D14&lt;=40,"Discapacidad moderada",IF(D14&lt;=60,"Discapacidad severa",IF(D14&lt;=80,"Incapacitante","Limitación máxima")))),"")&amp;IF(C14="DASH",IF(D14&lt;=25,"Discapacidad mínima",IF(D14&lt;=50,"Discapacidad moderada",IF(D14&lt;=75,"Discapacidad severa","Discapacidad extrema"))),"")&amp;IF(C14="Barthel",IF(D14&lt;=20,"Dependencia total",IF(D14&lt;=60,"Dependencia severa",IF(D14&lt;=90,"Dependencia moderada",IF(D14&lt;=99,"Dependencia leve","Independiente")))),"")&amp;IF(C14="Tinetti",IF(D14&lt;=18,"Alto riesgo de caída",IF(D14&lt;=24,"Riesgo moderado","Bajo riesgo de caída")),"")&amp;IF(C14="Berg",IF(D14&lt;=20,"Alto riesgo de caída",IF(D14&lt;=40,"Riesgo moderado","Bajo riesgo de caída")),"")&amp;IF(C14="SF-36",IF(D14&lt;=50,"Baja calidad de vida",IF(D14&lt;=75,"Calidad moderada","Buena calidad de vida")),"")&amp;IF(C14="WOMAC",IF(D14&lt;=25,"Afectación leve",IF(D14&lt;=50,"Afectación moderada",IF(D14&lt;=75,"Afectación severa","Afectación extrema"))),""))</f>
        <v/>
      </c>
      <c r="F14" s="15"/>
    </row>
    <row r="15" customFormat="false" ht="24" hidden="false" customHeight="true" outlineLevel="0" collapsed="false">
      <c r="A15" s="16" t="n">
        <v>8</v>
      </c>
      <c r="B15" s="11"/>
      <c r="C15" s="12"/>
      <c r="D15" s="13"/>
      <c r="E15" s="17" t="str">
        <f aca="false">IF(C15="","",IF(C15="Oswestry",IF(D15&lt;=20,"Mínima discapacidad",IF(D15&lt;=40,"Discapacidad moderada",IF(D15&lt;=60,"Discapacidad severa",IF(D15&lt;=80,"Incapacitante","Limitación máxima")))),"")&amp;IF(C15="DASH",IF(D15&lt;=25,"Discapacidad mínima",IF(D15&lt;=50,"Discapacidad moderada",IF(D15&lt;=75,"Discapacidad severa","Discapacidad extrema"))),"")&amp;IF(C15="Barthel",IF(D15&lt;=20,"Dependencia total",IF(D15&lt;=60,"Dependencia severa",IF(D15&lt;=90,"Dependencia moderada",IF(D15&lt;=99,"Dependencia leve","Independiente")))),"")&amp;IF(C15="Tinetti",IF(D15&lt;=18,"Alto riesgo de caída",IF(D15&lt;=24,"Riesgo moderado","Bajo riesgo de caída")),"")&amp;IF(C15="Berg",IF(D15&lt;=20,"Alto riesgo de caída",IF(D15&lt;=40,"Riesgo moderado","Bajo riesgo de caída")),"")&amp;IF(C15="SF-36",IF(D15&lt;=50,"Baja calidad de vida",IF(D15&lt;=75,"Calidad moderada","Buena calidad de vida")),"")&amp;IF(C15="WOMAC",IF(D15&lt;=25,"Afectación leve",IF(D15&lt;=50,"Afectación moderada",IF(D15&lt;=75,"Afectación severa","Afectación extrema"))),""))</f>
        <v/>
      </c>
      <c r="F15" s="15"/>
    </row>
    <row r="16" customFormat="false" ht="24" hidden="false" customHeight="true" outlineLevel="0" collapsed="false">
      <c r="A16" s="10" t="n">
        <v>9</v>
      </c>
      <c r="B16" s="11"/>
      <c r="C16" s="12"/>
      <c r="D16" s="13"/>
      <c r="E16" s="14" t="str">
        <f aca="false">IF(C16="","",IF(C16="Oswestry",IF(D16&lt;=20,"Mínima discapacidad",IF(D16&lt;=40,"Discapacidad moderada",IF(D16&lt;=60,"Discapacidad severa",IF(D16&lt;=80,"Incapacitante","Limitación máxima")))),"")&amp;IF(C16="DASH",IF(D16&lt;=25,"Discapacidad mínima",IF(D16&lt;=50,"Discapacidad moderada",IF(D16&lt;=75,"Discapacidad severa","Discapacidad extrema"))),"")&amp;IF(C16="Barthel",IF(D16&lt;=20,"Dependencia total",IF(D16&lt;=60,"Dependencia severa",IF(D16&lt;=90,"Dependencia moderada",IF(D16&lt;=99,"Dependencia leve","Independiente")))),"")&amp;IF(C16="Tinetti",IF(D16&lt;=18,"Alto riesgo de caída",IF(D16&lt;=24,"Riesgo moderado","Bajo riesgo de caída")),"")&amp;IF(C16="Berg",IF(D16&lt;=20,"Alto riesgo de caída",IF(D16&lt;=40,"Riesgo moderado","Bajo riesgo de caída")),"")&amp;IF(C16="SF-36",IF(D16&lt;=50,"Baja calidad de vida",IF(D16&lt;=75,"Calidad moderada","Buena calidad de vida")),"")&amp;IF(C16="WOMAC",IF(D16&lt;=25,"Afectación leve",IF(D16&lt;=50,"Afectación moderada",IF(D16&lt;=75,"Afectación severa","Afectación extrema"))),""))</f>
        <v/>
      </c>
      <c r="F16" s="15"/>
    </row>
    <row r="17" customFormat="false" ht="24" hidden="false" customHeight="true" outlineLevel="0" collapsed="false">
      <c r="A17" s="16" t="n">
        <v>10</v>
      </c>
      <c r="B17" s="11"/>
      <c r="C17" s="12"/>
      <c r="D17" s="13"/>
      <c r="E17" s="17" t="str">
        <f aca="false">IF(C17="","",IF(C17="Oswestry",IF(D17&lt;=20,"Mínima discapacidad",IF(D17&lt;=40,"Discapacidad moderada",IF(D17&lt;=60,"Discapacidad severa",IF(D17&lt;=80,"Incapacitante","Limitación máxima")))),"")&amp;IF(C17="DASH",IF(D17&lt;=25,"Discapacidad mínima",IF(D17&lt;=50,"Discapacidad moderada",IF(D17&lt;=75,"Discapacidad severa","Discapacidad extrema"))),"")&amp;IF(C17="Barthel",IF(D17&lt;=20,"Dependencia total",IF(D17&lt;=60,"Dependencia severa",IF(D17&lt;=90,"Dependencia moderada",IF(D17&lt;=99,"Dependencia leve","Independiente")))),"")&amp;IF(C17="Tinetti",IF(D17&lt;=18,"Alto riesgo de caída",IF(D17&lt;=24,"Riesgo moderado","Bajo riesgo de caída")),"")&amp;IF(C17="Berg",IF(D17&lt;=20,"Alto riesgo de caída",IF(D17&lt;=40,"Riesgo moderado","Bajo riesgo de caída")),"")&amp;IF(C17="SF-36",IF(D17&lt;=50,"Baja calidad de vida",IF(D17&lt;=75,"Calidad moderada","Buena calidad de vida")),"")&amp;IF(C17="WOMAC",IF(D17&lt;=25,"Afectación leve",IF(D17&lt;=50,"Afectación moderada",IF(D17&lt;=75,"Afectación severa","Afectación extrema"))),""))</f>
        <v/>
      </c>
      <c r="F17" s="15"/>
    </row>
    <row r="18" customFormat="false" ht="24" hidden="false" customHeight="true" outlineLevel="0" collapsed="false">
      <c r="A18" s="10" t="n">
        <v>11</v>
      </c>
      <c r="B18" s="11"/>
      <c r="C18" s="12"/>
      <c r="D18" s="13"/>
      <c r="E18" s="14" t="str">
        <f aca="false">IF(C18="","",IF(C18="Oswestry",IF(D18&lt;=20,"Mínima discapacidad",IF(D18&lt;=40,"Discapacidad moderada",IF(D18&lt;=60,"Discapacidad severa",IF(D18&lt;=80,"Incapacitante","Limitación máxima")))),"")&amp;IF(C18="DASH",IF(D18&lt;=25,"Discapacidad mínima",IF(D18&lt;=50,"Discapacidad moderada",IF(D18&lt;=75,"Discapacidad severa","Discapacidad extrema"))),"")&amp;IF(C18="Barthel",IF(D18&lt;=20,"Dependencia total",IF(D18&lt;=60,"Dependencia severa",IF(D18&lt;=90,"Dependencia moderada",IF(D18&lt;=99,"Dependencia leve","Independiente")))),"")&amp;IF(C18="Tinetti",IF(D18&lt;=18,"Alto riesgo de caída",IF(D18&lt;=24,"Riesgo moderado","Bajo riesgo de caída")),"")&amp;IF(C18="Berg",IF(D18&lt;=20,"Alto riesgo de caída",IF(D18&lt;=40,"Riesgo moderado","Bajo riesgo de caída")),"")&amp;IF(C18="SF-36",IF(D18&lt;=50,"Baja calidad de vida",IF(D18&lt;=75,"Calidad moderada","Buena calidad de vida")),"")&amp;IF(C18="WOMAC",IF(D18&lt;=25,"Afectación leve",IF(D18&lt;=50,"Afectación moderada",IF(D18&lt;=75,"Afectación severa","Afectación extrema"))),""))</f>
        <v/>
      </c>
      <c r="F18" s="15"/>
    </row>
    <row r="19" customFormat="false" ht="24" hidden="false" customHeight="true" outlineLevel="0" collapsed="false">
      <c r="A19" s="16" t="n">
        <v>12</v>
      </c>
      <c r="B19" s="11"/>
      <c r="C19" s="12"/>
      <c r="D19" s="13"/>
      <c r="E19" s="17" t="str">
        <f aca="false">IF(C19="","",IF(C19="Oswestry",IF(D19&lt;=20,"Mínima discapacidad",IF(D19&lt;=40,"Discapacidad moderada",IF(D19&lt;=60,"Discapacidad severa",IF(D19&lt;=80,"Incapacitante","Limitación máxima")))),"")&amp;IF(C19="DASH",IF(D19&lt;=25,"Discapacidad mínima",IF(D19&lt;=50,"Discapacidad moderada",IF(D19&lt;=75,"Discapacidad severa","Discapacidad extrema"))),"")&amp;IF(C19="Barthel",IF(D19&lt;=20,"Dependencia total",IF(D19&lt;=60,"Dependencia severa",IF(D19&lt;=90,"Dependencia moderada",IF(D19&lt;=99,"Dependencia leve","Independiente")))),"")&amp;IF(C19="Tinetti",IF(D19&lt;=18,"Alto riesgo de caída",IF(D19&lt;=24,"Riesgo moderado","Bajo riesgo de caída")),"")&amp;IF(C19="Berg",IF(D19&lt;=20,"Alto riesgo de caída",IF(D19&lt;=40,"Riesgo moderado","Bajo riesgo de caída")),"")&amp;IF(C19="SF-36",IF(D19&lt;=50,"Baja calidad de vida",IF(D19&lt;=75,"Calidad moderada","Buena calidad de vida")),"")&amp;IF(C19="WOMAC",IF(D19&lt;=25,"Afectación leve",IF(D19&lt;=50,"Afectación moderada",IF(D19&lt;=75,"Afectación severa","Afectación extrema"))),""))</f>
        <v/>
      </c>
      <c r="F19" s="15"/>
    </row>
    <row r="20" customFormat="false" ht="24" hidden="false" customHeight="true" outlineLevel="0" collapsed="false">
      <c r="A20" s="10" t="n">
        <v>13</v>
      </c>
      <c r="B20" s="11"/>
      <c r="C20" s="12"/>
      <c r="D20" s="13"/>
      <c r="E20" s="14" t="str">
        <f aca="false">IF(C20="","",IF(C20="Oswestry",IF(D20&lt;=20,"Mínima discapacidad",IF(D20&lt;=40,"Discapacidad moderada",IF(D20&lt;=60,"Discapacidad severa",IF(D20&lt;=80,"Incapacitante","Limitación máxima")))),"")&amp;IF(C20="DASH",IF(D20&lt;=25,"Discapacidad mínima",IF(D20&lt;=50,"Discapacidad moderada",IF(D20&lt;=75,"Discapacidad severa","Discapacidad extrema"))),"")&amp;IF(C20="Barthel",IF(D20&lt;=20,"Dependencia total",IF(D20&lt;=60,"Dependencia severa",IF(D20&lt;=90,"Dependencia moderada",IF(D20&lt;=99,"Dependencia leve","Independiente")))),"")&amp;IF(C20="Tinetti",IF(D20&lt;=18,"Alto riesgo de caída",IF(D20&lt;=24,"Riesgo moderado","Bajo riesgo de caída")),"")&amp;IF(C20="Berg",IF(D20&lt;=20,"Alto riesgo de caída",IF(D20&lt;=40,"Riesgo moderado","Bajo riesgo de caída")),"")&amp;IF(C20="SF-36",IF(D20&lt;=50,"Baja calidad de vida",IF(D20&lt;=75,"Calidad moderada","Buena calidad de vida")),"")&amp;IF(C20="WOMAC",IF(D20&lt;=25,"Afectación leve",IF(D20&lt;=50,"Afectación moderada",IF(D20&lt;=75,"Afectación severa","Afectación extrema"))),""))</f>
        <v/>
      </c>
      <c r="F20" s="15"/>
    </row>
    <row r="21" customFormat="false" ht="24" hidden="false" customHeight="true" outlineLevel="0" collapsed="false">
      <c r="A21" s="16" t="n">
        <v>14</v>
      </c>
      <c r="B21" s="11"/>
      <c r="C21" s="12"/>
      <c r="D21" s="13"/>
      <c r="E21" s="17" t="str">
        <f aca="false">IF(C21="","",IF(C21="Oswestry",IF(D21&lt;=20,"Mínima discapacidad",IF(D21&lt;=40,"Discapacidad moderada",IF(D21&lt;=60,"Discapacidad severa",IF(D21&lt;=80,"Incapacitante","Limitación máxima")))),"")&amp;IF(C21="DASH",IF(D21&lt;=25,"Discapacidad mínima",IF(D21&lt;=50,"Discapacidad moderada",IF(D21&lt;=75,"Discapacidad severa","Discapacidad extrema"))),"")&amp;IF(C21="Barthel",IF(D21&lt;=20,"Dependencia total",IF(D21&lt;=60,"Dependencia severa",IF(D21&lt;=90,"Dependencia moderada",IF(D21&lt;=99,"Dependencia leve","Independiente")))),"")&amp;IF(C21="Tinetti",IF(D21&lt;=18,"Alto riesgo de caída",IF(D21&lt;=24,"Riesgo moderado","Bajo riesgo de caída")),"")&amp;IF(C21="Berg",IF(D21&lt;=20,"Alto riesgo de caída",IF(D21&lt;=40,"Riesgo moderado","Bajo riesgo de caída")),"")&amp;IF(C21="SF-36",IF(D21&lt;=50,"Baja calidad de vida",IF(D21&lt;=75,"Calidad moderada","Buena calidad de vida")),"")&amp;IF(C21="WOMAC",IF(D21&lt;=25,"Afectación leve",IF(D21&lt;=50,"Afectación moderada",IF(D21&lt;=75,"Afectación severa","Afectación extrema"))),""))</f>
        <v/>
      </c>
      <c r="F21" s="15"/>
    </row>
    <row r="22" customFormat="false" ht="24" hidden="false" customHeight="true" outlineLevel="0" collapsed="false">
      <c r="A22" s="10" t="n">
        <v>15</v>
      </c>
      <c r="B22" s="11"/>
      <c r="C22" s="12"/>
      <c r="D22" s="13"/>
      <c r="E22" s="14" t="str">
        <f aca="false">IF(C22="","",IF(C22="Oswestry",IF(D22&lt;=20,"Mínima discapacidad",IF(D22&lt;=40,"Discapacidad moderada",IF(D22&lt;=60,"Discapacidad severa",IF(D22&lt;=80,"Incapacitante","Limitación máxima")))),"")&amp;IF(C22="DASH",IF(D22&lt;=25,"Discapacidad mínima",IF(D22&lt;=50,"Discapacidad moderada",IF(D22&lt;=75,"Discapacidad severa","Discapacidad extrema"))),"")&amp;IF(C22="Barthel",IF(D22&lt;=20,"Dependencia total",IF(D22&lt;=60,"Dependencia severa",IF(D22&lt;=90,"Dependencia moderada",IF(D22&lt;=99,"Dependencia leve","Independiente")))),"")&amp;IF(C22="Tinetti",IF(D22&lt;=18,"Alto riesgo de caída",IF(D22&lt;=24,"Riesgo moderado","Bajo riesgo de caída")),"")&amp;IF(C22="Berg",IF(D22&lt;=20,"Alto riesgo de caída",IF(D22&lt;=40,"Riesgo moderado","Bajo riesgo de caída")),"")&amp;IF(C22="SF-36",IF(D22&lt;=50,"Baja calidad de vida",IF(D22&lt;=75,"Calidad moderada","Buena calidad de vida")),"")&amp;IF(C22="WOMAC",IF(D22&lt;=25,"Afectación leve",IF(D22&lt;=50,"Afectación moderada",IF(D22&lt;=75,"Afectación severa","Afectación extrema"))),""))</f>
        <v/>
      </c>
      <c r="F22" s="15"/>
    </row>
    <row r="23" customFormat="false" ht="24" hidden="false" customHeight="true" outlineLevel="0" collapsed="false">
      <c r="A23" s="16" t="n">
        <v>16</v>
      </c>
      <c r="B23" s="11"/>
      <c r="C23" s="12"/>
      <c r="D23" s="13"/>
      <c r="E23" s="17" t="str">
        <f aca="false">IF(C23="","",IF(C23="Oswestry",IF(D23&lt;=20,"Mínima discapacidad",IF(D23&lt;=40,"Discapacidad moderada",IF(D23&lt;=60,"Discapacidad severa",IF(D23&lt;=80,"Incapacitante","Limitación máxima")))),"")&amp;IF(C23="DASH",IF(D23&lt;=25,"Discapacidad mínima",IF(D23&lt;=50,"Discapacidad moderada",IF(D23&lt;=75,"Discapacidad severa","Discapacidad extrema"))),"")&amp;IF(C23="Barthel",IF(D23&lt;=20,"Dependencia total",IF(D23&lt;=60,"Dependencia severa",IF(D23&lt;=90,"Dependencia moderada",IF(D23&lt;=99,"Dependencia leve","Independiente")))),"")&amp;IF(C23="Tinetti",IF(D23&lt;=18,"Alto riesgo de caída",IF(D23&lt;=24,"Riesgo moderado","Bajo riesgo de caída")),"")&amp;IF(C23="Berg",IF(D23&lt;=20,"Alto riesgo de caída",IF(D23&lt;=40,"Riesgo moderado","Bajo riesgo de caída")),"")&amp;IF(C23="SF-36",IF(D23&lt;=50,"Baja calidad de vida",IF(D23&lt;=75,"Calidad moderada","Buena calidad de vida")),"")&amp;IF(C23="WOMAC",IF(D23&lt;=25,"Afectación leve",IF(D23&lt;=50,"Afectación moderada",IF(D23&lt;=75,"Afectación severa","Afectación extrema"))),""))</f>
        <v/>
      </c>
      <c r="F23" s="15"/>
    </row>
    <row r="24" customFormat="false" ht="24" hidden="false" customHeight="true" outlineLevel="0" collapsed="false">
      <c r="A24" s="10" t="n">
        <v>17</v>
      </c>
      <c r="B24" s="11"/>
      <c r="C24" s="12"/>
      <c r="D24" s="13"/>
      <c r="E24" s="14" t="str">
        <f aca="false">IF(C24="","",IF(C24="Oswestry",IF(D24&lt;=20,"Mínima discapacidad",IF(D24&lt;=40,"Discapacidad moderada",IF(D24&lt;=60,"Discapacidad severa",IF(D24&lt;=80,"Incapacitante","Limitación máxima")))),"")&amp;IF(C24="DASH",IF(D24&lt;=25,"Discapacidad mínima",IF(D24&lt;=50,"Discapacidad moderada",IF(D24&lt;=75,"Discapacidad severa","Discapacidad extrema"))),"")&amp;IF(C24="Barthel",IF(D24&lt;=20,"Dependencia total",IF(D24&lt;=60,"Dependencia severa",IF(D24&lt;=90,"Dependencia moderada",IF(D24&lt;=99,"Dependencia leve","Independiente")))),"")&amp;IF(C24="Tinetti",IF(D24&lt;=18,"Alto riesgo de caída",IF(D24&lt;=24,"Riesgo moderado","Bajo riesgo de caída")),"")&amp;IF(C24="Berg",IF(D24&lt;=20,"Alto riesgo de caída",IF(D24&lt;=40,"Riesgo moderado","Bajo riesgo de caída")),"")&amp;IF(C24="SF-36",IF(D24&lt;=50,"Baja calidad de vida",IF(D24&lt;=75,"Calidad moderada","Buena calidad de vida")),"")&amp;IF(C24="WOMAC",IF(D24&lt;=25,"Afectación leve",IF(D24&lt;=50,"Afectación moderada",IF(D24&lt;=75,"Afectación severa","Afectación extrema"))),""))</f>
        <v/>
      </c>
      <c r="F24" s="15"/>
    </row>
    <row r="25" customFormat="false" ht="24" hidden="false" customHeight="true" outlineLevel="0" collapsed="false">
      <c r="A25" s="16" t="n">
        <v>18</v>
      </c>
      <c r="B25" s="11"/>
      <c r="C25" s="12"/>
      <c r="D25" s="13"/>
      <c r="E25" s="17" t="str">
        <f aca="false">IF(C25="","",IF(C25="Oswestry",IF(D25&lt;=20,"Mínima discapacidad",IF(D25&lt;=40,"Discapacidad moderada",IF(D25&lt;=60,"Discapacidad severa",IF(D25&lt;=80,"Incapacitante","Limitación máxima")))),"")&amp;IF(C25="DASH",IF(D25&lt;=25,"Discapacidad mínima",IF(D25&lt;=50,"Discapacidad moderada",IF(D25&lt;=75,"Discapacidad severa","Discapacidad extrema"))),"")&amp;IF(C25="Barthel",IF(D25&lt;=20,"Dependencia total",IF(D25&lt;=60,"Dependencia severa",IF(D25&lt;=90,"Dependencia moderada",IF(D25&lt;=99,"Dependencia leve","Independiente")))),"")&amp;IF(C25="Tinetti",IF(D25&lt;=18,"Alto riesgo de caída",IF(D25&lt;=24,"Riesgo moderado","Bajo riesgo de caída")),"")&amp;IF(C25="Berg",IF(D25&lt;=20,"Alto riesgo de caída",IF(D25&lt;=40,"Riesgo moderado","Bajo riesgo de caída")),"")&amp;IF(C25="SF-36",IF(D25&lt;=50,"Baja calidad de vida",IF(D25&lt;=75,"Calidad moderada","Buena calidad de vida")),"")&amp;IF(C25="WOMAC",IF(D25&lt;=25,"Afectación leve",IF(D25&lt;=50,"Afectación moderada",IF(D25&lt;=75,"Afectación severa","Afectación extrema"))),""))</f>
        <v/>
      </c>
      <c r="F25" s="15"/>
    </row>
    <row r="26" customFormat="false" ht="24" hidden="false" customHeight="true" outlineLevel="0" collapsed="false">
      <c r="A26" s="10" t="n">
        <v>19</v>
      </c>
      <c r="B26" s="11"/>
      <c r="C26" s="12"/>
      <c r="D26" s="13"/>
      <c r="E26" s="14" t="str">
        <f aca="false">IF(C26="","",IF(C26="Oswestry",IF(D26&lt;=20,"Mínima discapacidad",IF(D26&lt;=40,"Discapacidad moderada",IF(D26&lt;=60,"Discapacidad severa",IF(D26&lt;=80,"Incapacitante","Limitación máxima")))),"")&amp;IF(C26="DASH",IF(D26&lt;=25,"Discapacidad mínima",IF(D26&lt;=50,"Discapacidad moderada",IF(D26&lt;=75,"Discapacidad severa","Discapacidad extrema"))),"")&amp;IF(C26="Barthel",IF(D26&lt;=20,"Dependencia total",IF(D26&lt;=60,"Dependencia severa",IF(D26&lt;=90,"Dependencia moderada",IF(D26&lt;=99,"Dependencia leve","Independiente")))),"")&amp;IF(C26="Tinetti",IF(D26&lt;=18,"Alto riesgo de caída",IF(D26&lt;=24,"Riesgo moderado","Bajo riesgo de caída")),"")&amp;IF(C26="Berg",IF(D26&lt;=20,"Alto riesgo de caída",IF(D26&lt;=40,"Riesgo moderado","Bajo riesgo de caída")),"")&amp;IF(C26="SF-36",IF(D26&lt;=50,"Baja calidad de vida",IF(D26&lt;=75,"Calidad moderada","Buena calidad de vida")),"")&amp;IF(C26="WOMAC",IF(D26&lt;=25,"Afectación leve",IF(D26&lt;=50,"Afectación moderada",IF(D26&lt;=75,"Afectación severa","Afectación extrema"))),""))</f>
        <v/>
      </c>
      <c r="F26" s="15"/>
    </row>
    <row r="27" customFormat="false" ht="24" hidden="false" customHeight="true" outlineLevel="0" collapsed="false">
      <c r="A27" s="16" t="n">
        <v>20</v>
      </c>
      <c r="B27" s="11"/>
      <c r="C27" s="12"/>
      <c r="D27" s="13"/>
      <c r="E27" s="17" t="str">
        <f aca="false">IF(C27="","",IF(C27="Oswestry",IF(D27&lt;=20,"Mínima discapacidad",IF(D27&lt;=40,"Discapacidad moderada",IF(D27&lt;=60,"Discapacidad severa",IF(D27&lt;=80,"Incapacitante","Limitación máxima")))),"")&amp;IF(C27="DASH",IF(D27&lt;=25,"Discapacidad mínima",IF(D27&lt;=50,"Discapacidad moderada",IF(D27&lt;=75,"Discapacidad severa","Discapacidad extrema"))),"")&amp;IF(C27="Barthel",IF(D27&lt;=20,"Dependencia total",IF(D27&lt;=60,"Dependencia severa",IF(D27&lt;=90,"Dependencia moderada",IF(D27&lt;=99,"Dependencia leve","Independiente")))),"")&amp;IF(C27="Tinetti",IF(D27&lt;=18,"Alto riesgo de caída",IF(D27&lt;=24,"Riesgo moderado","Bajo riesgo de caída")),"")&amp;IF(C27="Berg",IF(D27&lt;=20,"Alto riesgo de caída",IF(D27&lt;=40,"Riesgo moderado","Bajo riesgo de caída")),"")&amp;IF(C27="SF-36",IF(D27&lt;=50,"Baja calidad de vida",IF(D27&lt;=75,"Calidad moderada","Buena calidad de vida")),"")&amp;IF(C27="WOMAC",IF(D27&lt;=25,"Afectación leve",IF(D27&lt;=50,"Afectación moderada",IF(D27&lt;=75,"Afectación severa","Afectación extrema"))),""))</f>
        <v/>
      </c>
      <c r="F27" s="15"/>
    </row>
    <row r="46" customFormat="false" ht="15" hidden="false" customHeight="false" outlineLevel="0" collapsed="false">
      <c r="A46" s="5" t="s">
        <v>11</v>
      </c>
      <c r="B46" s="5"/>
      <c r="C46" s="5"/>
      <c r="D46" s="5"/>
      <c r="E46" s="5"/>
      <c r="F46" s="5"/>
    </row>
    <row r="47" customFormat="false" ht="15" hidden="false" customHeight="false" outlineLevel="0" collapsed="false">
      <c r="A47" s="6" t="s">
        <v>12</v>
      </c>
      <c r="B47" s="6"/>
      <c r="C47" s="6"/>
      <c r="D47" s="6"/>
      <c r="E47" s="6"/>
      <c r="F47" s="6"/>
    </row>
  </sheetData>
  <sheetProtection sheet="true" formatCells="false" formatColumns="false" formatRows="false"/>
  <mergeCells count="6">
    <mergeCell ref="A1:F1"/>
    <mergeCell ref="A2:F2"/>
    <mergeCell ref="B4:C4"/>
    <mergeCell ref="B5:C5"/>
    <mergeCell ref="A46:F46"/>
    <mergeCell ref="A47:F47"/>
  </mergeCells>
  <dataValidations count="1">
    <dataValidation allowBlank="true" error="Seleccione una escala de la lista" errorStyle="stop" operator="between" showDropDown="false" showErrorMessage="false" showInputMessage="false" sqref="C8:C27" type="list">
      <formula1>"Oswestry,DASH,Barthel,Tinetti,Berg,SF-36,WOMAC"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39.75" hidden="false" customHeight="tru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3" customFormat="false" ht="15" hidden="false" customHeight="true" outlineLevel="0" collapsed="false">
      <c r="A3" s="18" t="s">
        <v>24</v>
      </c>
      <c r="B3" s="18"/>
      <c r="C3" s="18"/>
      <c r="D3" s="18"/>
      <c r="E3" s="18"/>
    </row>
    <row r="4" customFormat="false" ht="7.5" hidden="false" customHeight="true" outlineLevel="0" collapsed="false"/>
    <row r="5" customFormat="false" ht="30" hidden="false" customHeight="true" outlineLevel="0" collapsed="false">
      <c r="A5" s="9" t="s">
        <v>16</v>
      </c>
      <c r="B5" s="9" t="s">
        <v>18</v>
      </c>
      <c r="C5" s="9" t="s">
        <v>25</v>
      </c>
      <c r="D5" s="9" t="s">
        <v>26</v>
      </c>
      <c r="E5" s="9" t="s">
        <v>27</v>
      </c>
    </row>
    <row r="6" customFormat="false" ht="45" hidden="false" customHeight="true" outlineLevel="0" collapsed="false">
      <c r="A6" s="10" t="n">
        <v>1</v>
      </c>
      <c r="B6" s="19" t="s">
        <v>28</v>
      </c>
      <c r="C6" s="20" t="s">
        <v>29</v>
      </c>
      <c r="D6" s="20" t="s">
        <v>30</v>
      </c>
      <c r="E6" s="20" t="s">
        <v>31</v>
      </c>
    </row>
    <row r="7" customFormat="false" ht="45" hidden="false" customHeight="true" outlineLevel="0" collapsed="false">
      <c r="A7" s="16" t="n">
        <v>2</v>
      </c>
      <c r="B7" s="21" t="s">
        <v>32</v>
      </c>
      <c r="C7" s="22" t="s">
        <v>33</v>
      </c>
      <c r="D7" s="22" t="s">
        <v>34</v>
      </c>
      <c r="E7" s="22" t="s">
        <v>35</v>
      </c>
    </row>
    <row r="8" customFormat="false" ht="45" hidden="false" customHeight="true" outlineLevel="0" collapsed="false">
      <c r="A8" s="10" t="n">
        <v>3</v>
      </c>
      <c r="B8" s="19" t="s">
        <v>36</v>
      </c>
      <c r="C8" s="20" t="s">
        <v>37</v>
      </c>
      <c r="D8" s="20" t="s">
        <v>38</v>
      </c>
      <c r="E8" s="20" t="s">
        <v>39</v>
      </c>
    </row>
    <row r="9" customFormat="false" ht="45" hidden="false" customHeight="true" outlineLevel="0" collapsed="false">
      <c r="A9" s="16" t="n">
        <v>4</v>
      </c>
      <c r="B9" s="21" t="s">
        <v>40</v>
      </c>
      <c r="C9" s="22" t="s">
        <v>41</v>
      </c>
      <c r="D9" s="22" t="s">
        <v>42</v>
      </c>
      <c r="E9" s="22" t="s">
        <v>43</v>
      </c>
    </row>
    <row r="10" customFormat="false" ht="45" hidden="false" customHeight="true" outlineLevel="0" collapsed="false">
      <c r="A10" s="10" t="n">
        <v>5</v>
      </c>
      <c r="B10" s="19" t="s">
        <v>44</v>
      </c>
      <c r="C10" s="20" t="s">
        <v>45</v>
      </c>
      <c r="D10" s="20" t="s">
        <v>46</v>
      </c>
      <c r="E10" s="20" t="s">
        <v>47</v>
      </c>
    </row>
    <row r="11" customFormat="false" ht="45" hidden="false" customHeight="true" outlineLevel="0" collapsed="false">
      <c r="A11" s="16" t="n">
        <v>6</v>
      </c>
      <c r="B11" s="21" t="s">
        <v>48</v>
      </c>
      <c r="C11" s="22" t="s">
        <v>49</v>
      </c>
      <c r="D11" s="22" t="s">
        <v>50</v>
      </c>
      <c r="E11" s="22" t="s">
        <v>51</v>
      </c>
    </row>
    <row r="12" customFormat="false" ht="45" hidden="false" customHeight="true" outlineLevel="0" collapsed="false">
      <c r="A12" s="10" t="n">
        <v>7</v>
      </c>
      <c r="B12" s="19" t="s">
        <v>52</v>
      </c>
      <c r="C12" s="20" t="s">
        <v>53</v>
      </c>
      <c r="D12" s="20" t="s">
        <v>54</v>
      </c>
      <c r="E12" s="20" t="s">
        <v>55</v>
      </c>
    </row>
    <row r="14" customFormat="false" ht="15" hidden="false" customHeight="false" outlineLevel="0" collapsed="false">
      <c r="A14" s="5" t="s">
        <v>11</v>
      </c>
      <c r="B14" s="5"/>
      <c r="C14" s="5"/>
      <c r="D14" s="5"/>
      <c r="E14" s="5"/>
    </row>
    <row r="15" customFormat="false" ht="15" hidden="false" customHeight="false" outlineLevel="0" collapsed="false">
      <c r="A15" s="6" t="s">
        <v>12</v>
      </c>
      <c r="B15" s="6"/>
      <c r="C15" s="6"/>
      <c r="D15" s="6"/>
      <c r="E15" s="6"/>
    </row>
  </sheetData>
  <mergeCells count="5">
    <mergeCell ref="A1:E1"/>
    <mergeCell ref="A2:E2"/>
    <mergeCell ref="A3:E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2026-10-27T17:39:43Z</dcterms:created>
  <dc:creator>openpyxl</dc:creator>
  <dc:description/>
  <dc:language>en-US</dc:language>
  <cp:lastModifiedBy/>
  <dcterms:modified xsi:type="dcterms:W3CDTF">2026-10-27T11:40:19Z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