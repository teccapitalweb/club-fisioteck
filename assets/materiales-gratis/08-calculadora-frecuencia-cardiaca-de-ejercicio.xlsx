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alculador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<sst xmlns="http://schemas.openxmlformats.org/spreadsheetml/2006/main" count="65" uniqueCount="46">
  <si>
    <t xml:space="preserve">FISIOTECK — Calculadora de Frecuencia Cardiaca de Ejercicio</t>
  </si>
  <si>
    <t xml:space="preserve">Estimación de zonas de entrenamiento</t>
  </si>
  <si>
    <t xml:space="preserve">INSTRUCCIONES DE USO</t>
  </si>
  <si>
    <t xml:space="preserve">1. Ve a la hoja «Calculadora» e ingresa la edad del paciente en la celda amarilla.</t>
  </si>
  <si>
    <t xml:space="preserve">2. Opcionalmente ingresa la frecuencia cardiaca en reposo para el cálculo con fórmula de Karvonen.</t>
  </si>
  <si>
    <t xml:space="preserve">3. La frecuencia cardiaca máxima estimada (220 - edad) se calcula automáticamente.</t>
  </si>
  <si>
    <t xml:space="preserve">4. Las zonas de entrenamiento se muestran con su rango de FC y descripción.</t>
  </si>
  <si>
    <t xml:space="preserve">5. La sección de Karvonen calcula las zonas ajustadas por la reserva cardiaca.</t>
  </si>
  <si>
    <t xml:space="preserve">LEYENDA</t>
  </si>
  <si>
    <t xml:space="preserve">   Celdas amarillas = datos que debes capturar</t>
  </si>
  <si>
    <t xml:space="preserve">   Celdas con resultado = fórmulas automáticas (no editar)</t>
  </si>
  <si>
    <t xml:space="preserve">ADVERTENCIA</t>
  </si>
  <si>
    <t xml:space="preserve">Estas son estimaciones basadas en la fórmula de Tanaka (220 - edad).</t>
  </si>
  <si>
    <t xml:space="preserve">No sustituyen una prueba de esfuerzo ni la valoración cardiológica.</t>
  </si>
  <si>
    <t xml:space="preserve">No aplique estos valores en pacientes con cardiopatías sin supervisión médica.</t>
  </si>
  <si>
    <t xml:space="preserve">club.fisioteck.com · Material gratuito para uso educativo</t>
  </si>
  <si>
    <t xml:space="preserve">Material educativo. No sustituye el criterio clínico ni los protocolos de tu institución.</t>
  </si>
  <si>
    <t xml:space="preserve">Estimación de zonas de entrenamiento por fórmula de edad</t>
  </si>
  <si>
    <t xml:space="preserve">DATOS DEL PACIENTE</t>
  </si>
  <si>
    <t xml:space="preserve">RESULTADOS</t>
  </si>
  <si>
    <t xml:space="preserve">Nombre:</t>
  </si>
  <si>
    <t xml:space="preserve">Ejemplo: María López</t>
  </si>
  <si>
    <t xml:space="preserve">FC máxima estimada (lpm):</t>
  </si>
  <si>
    <t xml:space="preserve">Edad (años):</t>
  </si>
  <si>
    <t xml:space="preserve">Reserva cardiaca (lpm):</t>
  </si>
  <si>
    <t xml:space="preserve">FC en reposo (lpm):</t>
  </si>
  <si>
    <t xml:space="preserve">ZONAS DE ENTRENAMIENTO — Fórmula estándar (% de FC máxima)</t>
  </si>
  <si>
    <t xml:space="preserve">Zona</t>
  </si>
  <si>
    <t xml:space="preserve">% Mínimo</t>
  </si>
  <si>
    <t xml:space="preserve">% Máximo</t>
  </si>
  <si>
    <t xml:space="preserve">FC Mínima</t>
  </si>
  <si>
    <t xml:space="preserve">FC Máxima</t>
  </si>
  <si>
    <t xml:space="preserve">Descripción</t>
  </si>
  <si>
    <t xml:space="preserve">Zona 1</t>
  </si>
  <si>
    <t xml:space="preserve">Calentamiento / Recuperación activa</t>
  </si>
  <si>
    <t xml:space="preserve">Zona 2</t>
  </si>
  <si>
    <t xml:space="preserve">Quema de grasa / Resistencia base</t>
  </si>
  <si>
    <t xml:space="preserve">Zona 3</t>
  </si>
  <si>
    <t xml:space="preserve">Aeróbico / Resistencia cardiovascular</t>
  </si>
  <si>
    <t xml:space="preserve">Zona 4</t>
  </si>
  <si>
    <t xml:space="preserve">Umbral anaeróbico / Alta intensidad</t>
  </si>
  <si>
    <t xml:space="preserve">Zona 5</t>
  </si>
  <si>
    <t xml:space="preserve">Esfuerzo máximo / Potencia</t>
  </si>
  <si>
    <t xml:space="preserve">ZONAS DE ENTRENAMIENTO — Fórmula de Karvonen (ajustada por reserva cardiaca)</t>
  </si>
  <si>
    <t xml:space="preserve">FC objetivo = FC reposo + % × (FC máxima – FC reposo)</t>
  </si>
  <si>
    <t xml:space="preserve">⚠ Estas son estimaciones. No sustituyen una prueba de esfuerzo. No aplique en pacientes cardiópatas sin supervisión médica.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</si>
</sst>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A3E68"/>
      <name val="Arial"/>
      <family val="0"/>
      <charset val="1"/>
    </font>
    <font>
      <b val="true"/>
      <sz val="12"/>
      <color rgb="FF159E92"/>
      <name val="Arial"/>
      <family val="0"/>
      <charset val="1"/>
    </font>
    <font>
      <sz val="10"/>
      <color rgb="FF10223A"/>
      <name val="Arial"/>
      <family val="0"/>
      <charset val="1"/>
    </font>
    <font>
      <b val="true"/>
      <sz val="11"/>
      <color rgb="FF10223A"/>
      <name val="Arial"/>
      <family val="0"/>
      <charset val="1"/>
    </font>
    <font>
      <i val="true"/>
      <sz val="9"/>
      <color rgb="FF0D5FA0"/>
      <name val="Arial"/>
      <family val="0"/>
      <charset val="1"/>
    </font>
    <font>
      <i val="true"/>
      <sz val="8"/>
      <color rgb="FF99999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A3E6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0223A"/>
      <name val="Arial"/>
      <family val="0"/>
      <charset val="1"/>
    </font>
    <font>
      <i val="true"/>
      <sz val="9"/>
      <color rgb="FF10223A"/>
      <name val="Arial"/>
      <family val="0"/>
      <charset val="1"/>
    </font>
    <font>
      <b val="true"/>
      <sz val="10"/>
      <color rgb="FFC2760B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5FA0"/>
        <bgColor rgb="FF008080"/>
      </patternFill>
    </fill>
    <fill>
      <patternFill patternType="solid">
        <fgColor rgb="FF159E92"/>
        <bgColor rgb="FF008080"/>
      </patternFill>
    </fill>
    <fill>
      <patternFill patternType="solid">
        <fgColor rgb="FFFFFDE7"/>
        <bgColor rgb="FFFFFFFF"/>
      </patternFill>
    </fill>
    <fill>
      <patternFill patternType="solid">
        <fgColor rgb="FF0A3E68"/>
        <bgColor rgb="FF10223A"/>
      </patternFill>
    </fill>
    <fill>
      <patternFill patternType="solid">
        <fgColor rgb="FFC6EFCE"/>
        <bgColor rgb="FFD4EDDA"/>
      </patternFill>
    </fill>
    <fill>
      <patternFill patternType="solid">
        <fgColor rgb="FFD4EDDA"/>
        <bgColor rgb="FFC6EFCE"/>
      </patternFill>
    </fill>
    <fill>
      <patternFill patternType="solid">
        <fgColor rgb="FFFFEB9C"/>
        <bgColor rgb="FFF8D7DA"/>
      </patternFill>
    </fill>
    <fill>
      <patternFill patternType="solid">
        <fgColor rgb="FFF8D7DA"/>
        <bgColor rgb="FFFFC7CE"/>
      </patternFill>
    </fill>
    <fill>
      <patternFill patternType="solid">
        <fgColor rgb="FFFFC7CE"/>
        <bgColor rgb="FFF8D7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8D7DA"/>
      <rgbColor rgb="FF808080"/>
      <rgbColor rgb="FF9999FF"/>
      <rgbColor rgb="FF993366"/>
      <rgbColor rgb="FFFFFDE7"/>
      <rgbColor rgb="FFD4EDDA"/>
      <rgbColor rgb="FF660066"/>
      <rgbColor rgb="FFFF8080"/>
      <rgbColor rgb="FF0D5FA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2760B"/>
      <rgbColor rgb="FF666699"/>
      <rgbColor rgb="FF999999"/>
      <rgbColor rgb="FF0A3E68"/>
      <rgbColor rgb="FF159E92"/>
      <rgbColor rgb="FF003300"/>
      <rgbColor rgb="FF333300"/>
      <rgbColor rgb="FF993300"/>
      <rgbColor rgb="FF993366"/>
      <rgbColor rgb="FF333399"/>
      <rgbColor rgb="FF1022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9E92"/>
    <pageSetUpPr fitToPage="false"/>
  </sheetPr>
  <dimension ref="A1:J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6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</row>
    <row r="7" customFormat="false" ht="15" hidden="false" customHeight="false" outlineLevel="0" collapsed="false">
      <c r="A7" s="3" t="s">
        <v>3</v>
      </c>
      <c r="B7" s="3"/>
      <c r="C7" s="3"/>
      <c r="D7" s="3"/>
      <c r="E7" s="3"/>
      <c r="F7" s="3"/>
      <c r="G7" s="3"/>
      <c r="H7" s="3"/>
      <c r="I7" s="3"/>
      <c r="J7" s="3"/>
    </row>
    <row r="8" customFormat="false" ht="15" hidden="false" customHeight="false" outlineLevel="0" collapsed="false">
      <c r="A8" s="3" t="s">
        <v>4</v>
      </c>
      <c r="B8" s="3"/>
      <c r="C8" s="3"/>
      <c r="D8" s="3"/>
      <c r="E8" s="3"/>
      <c r="F8" s="3"/>
      <c r="G8" s="3"/>
      <c r="H8" s="3"/>
      <c r="I8" s="3"/>
      <c r="J8" s="3"/>
    </row>
    <row r="9" customFormat="false" ht="15" hidden="false" customHeight="false" outlineLevel="0" collapsed="false">
      <c r="A9" s="3" t="s">
        <v>5</v>
      </c>
      <c r="B9" s="3"/>
      <c r="C9" s="3"/>
      <c r="D9" s="3"/>
      <c r="E9" s="3"/>
      <c r="F9" s="3"/>
      <c r="G9" s="3"/>
      <c r="H9" s="3"/>
      <c r="I9" s="3"/>
      <c r="J9" s="3"/>
    </row>
    <row r="10" customFormat="false" ht="15" hidden="false" customHeight="false" outlineLevel="0" collapsed="false">
      <c r="A10" s="3" t="s">
        <v>6</v>
      </c>
      <c r="B10" s="3"/>
      <c r="C10" s="3"/>
      <c r="D10" s="3"/>
      <c r="E10" s="3"/>
      <c r="F10" s="3"/>
      <c r="G10" s="3"/>
      <c r="H10" s="3"/>
      <c r="I10" s="3"/>
      <c r="J10" s="3"/>
    </row>
    <row r="11" customFormat="false" ht="15" hidden="false" customHeight="false" outlineLevel="0" collapsed="false">
      <c r="A11" s="3" t="s">
        <v>7</v>
      </c>
      <c r="B11" s="3"/>
      <c r="C11" s="3"/>
      <c r="D11" s="3"/>
      <c r="E11" s="3"/>
      <c r="F11" s="3"/>
      <c r="G11" s="3"/>
      <c r="H11" s="3"/>
      <c r="I11" s="3"/>
      <c r="J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customFormat="false" ht="15" hidden="false" customHeight="false" outlineLevel="0" collapsed="false">
      <c r="A13" s="4" t="s">
        <v>8</v>
      </c>
      <c r="B13" s="4"/>
      <c r="C13" s="4"/>
      <c r="D13" s="4"/>
      <c r="E13" s="4"/>
      <c r="F13" s="4"/>
      <c r="G13" s="4"/>
      <c r="H13" s="4"/>
      <c r="I13" s="4"/>
      <c r="J13" s="4"/>
    </row>
    <row r="14" customFormat="false" ht="15" hidden="false" customHeight="false" outlineLevel="0" collapsed="false">
      <c r="A14" s="3" t="s">
        <v>9</v>
      </c>
      <c r="B14" s="3"/>
      <c r="C14" s="3"/>
      <c r="D14" s="3"/>
      <c r="E14" s="3"/>
      <c r="F14" s="3"/>
      <c r="G14" s="3"/>
      <c r="H14" s="3"/>
      <c r="I14" s="3"/>
      <c r="J14" s="3"/>
    </row>
    <row r="15" customFormat="false" ht="15" hidden="false" customHeight="false" outlineLevel="0" collapsed="false">
      <c r="A15" s="3" t="s">
        <v>10</v>
      </c>
      <c r="B15" s="3"/>
      <c r="C15" s="3"/>
      <c r="D15" s="3"/>
      <c r="E15" s="3"/>
      <c r="F15" s="3"/>
      <c r="G15" s="3"/>
      <c r="H15" s="3"/>
      <c r="I15" s="3"/>
      <c r="J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" hidden="false" customHeight="false" outlineLevel="0" collapsed="false">
      <c r="A17" s="4" t="s">
        <v>11</v>
      </c>
      <c r="B17" s="4"/>
      <c r="C17" s="4"/>
      <c r="D17" s="4"/>
      <c r="E17" s="4"/>
      <c r="F17" s="4"/>
      <c r="G17" s="4"/>
      <c r="H17" s="4"/>
      <c r="I17" s="4"/>
      <c r="J17" s="4"/>
    </row>
    <row r="18" customFormat="false" ht="15" hidden="false" customHeight="false" outlineLevel="0" collapsed="false">
      <c r="A18" s="3" t="s">
        <v>12</v>
      </c>
      <c r="B18" s="3"/>
      <c r="C18" s="3"/>
      <c r="D18" s="3"/>
      <c r="E18" s="3"/>
      <c r="F18" s="3"/>
      <c r="G18" s="3"/>
      <c r="H18" s="3"/>
      <c r="I18" s="3"/>
      <c r="J18" s="3"/>
    </row>
    <row r="19" customFormat="false" ht="15" hidden="false" customHeight="false" outlineLevel="0" collapsed="false">
      <c r="A19" s="3" t="s">
        <v>13</v>
      </c>
      <c r="B19" s="3"/>
      <c r="C19" s="3"/>
      <c r="D19" s="3"/>
      <c r="E19" s="3"/>
      <c r="F19" s="3"/>
      <c r="G19" s="3"/>
      <c r="H19" s="3"/>
      <c r="I19" s="3"/>
      <c r="J19" s="3"/>
    </row>
    <row r="20" customFormat="false" ht="15" hidden="false" customHeight="false" outlineLevel="0" collapsed="false">
      <c r="A20" s="3" t="s">
        <v>14</v>
      </c>
      <c r="B20" s="3"/>
      <c r="C20" s="3"/>
      <c r="D20" s="3"/>
      <c r="E20" s="3"/>
      <c r="F20" s="3"/>
      <c r="G20" s="3"/>
      <c r="H20" s="3"/>
      <c r="I20" s="3"/>
      <c r="J20" s="3"/>
    </row>
    <row r="22" customFormat="false" ht="15" hidden="false" customHeight="false" outlineLevel="0" collapsed="false">
      <c r="A22" s="5" t="s">
        <v>15</v>
      </c>
      <c r="B22" s="5"/>
      <c r="C22" s="5"/>
      <c r="D22" s="5"/>
      <c r="E22" s="5"/>
      <c r="F22" s="5"/>
      <c r="G22" s="5"/>
      <c r="H22" s="5"/>
      <c r="I22" s="5"/>
      <c r="J22" s="5"/>
    </row>
    <row r="23" customFormat="false" ht="15" hidden="false" customHeight="false" outlineLevel="0" collapsed="false">
      <c r="A23" s="6" t="s">
        <v>16</v>
      </c>
      <c r="B23" s="6"/>
      <c r="C23" s="6"/>
      <c r="D23" s="6"/>
      <c r="E23" s="6"/>
      <c r="F23" s="6"/>
      <c r="G23" s="6"/>
      <c r="H23" s="6"/>
      <c r="I23" s="6"/>
      <c r="J23" s="6"/>
    </row>
  </sheetData>
  <mergeCells count="21">
    <mergeCell ref="A1:J1"/>
    <mergeCell ref="A2:J2"/>
    <mergeCell ref="A4:J4"/>
    <mergeCell ref="A5:J5"/>
    <mergeCell ref="A6:J6"/>
    <mergeCell ref="A7:J7"/>
    <mergeCell ref="A8:J8"/>
    <mergeCell ref="A9:J9"/>
    <mergeCell ref="A10:J10"/>
    <mergeCell ref="A11:J11"/>
    <mergeCell ref="A12:J12"/>
    <mergeCell ref="A13:J13"/>
    <mergeCell ref="A14:J14"/>
    <mergeCell ref="A15:J15"/>
    <mergeCell ref="A16:J16"/>
    <mergeCell ref="A17:J17"/>
    <mergeCell ref="A18:J18"/>
    <mergeCell ref="A19:J19"/>
    <mergeCell ref="A20:J20"/>
    <mergeCell ref="A22:J22"/>
    <mergeCell ref="A23:J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4" min="3" style="0" width="18"/>
    <col collapsed="false" customWidth="true" hidden="false" outlineLevel="0" max="5" min="5" style="0" width="6"/>
    <col collapsed="false" customWidth="true" hidden="false" outlineLevel="0" max="6" min="6" style="0" width="24"/>
    <col collapsed="false" customWidth="true" hidden="false" outlineLevel="0" max="8" min="7" style="0" width="18"/>
    <col collapsed="false" customWidth="true" hidden="false" outlineLevel="0" max="9" min="9" style="0" width="6"/>
    <col collapsed="false" customWidth="true" hidden="false" outlineLevel="0" max="10" min="10" style="0" width="18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4.75" hidden="false" customHeight="true" outlineLevel="0" collapsed="false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9.75" hidden="false" customHeight="true" outlineLevel="0" collapsed="false"/>
    <row r="4" customFormat="false" ht="15" hidden="false" customHeight="true" outlineLevel="0" collapsed="false">
      <c r="B4" s="7" t="s">
        <v>18</v>
      </c>
      <c r="C4" s="7"/>
      <c r="D4" s="7"/>
      <c r="F4" s="8" t="s">
        <v>19</v>
      </c>
      <c r="G4" s="8"/>
      <c r="H4" s="8"/>
    </row>
    <row r="5" customFormat="false" ht="27.75" hidden="false" customHeight="true" outlineLevel="0" collapsed="false">
      <c r="B5" s="9" t="s">
        <v>20</v>
      </c>
      <c r="C5" s="10" t="s">
        <v>21</v>
      </c>
      <c r="D5" s="10"/>
      <c r="F5" s="9" t="s">
        <v>22</v>
      </c>
      <c r="G5" s="11" t="n">
        <f aca="false">IFERROR(220-C6,"")</f>
        <v>190</v>
      </c>
      <c r="H5" s="11"/>
    </row>
    <row r="6" customFormat="false" ht="27.75" hidden="false" customHeight="true" outlineLevel="0" collapsed="false">
      <c r="B6" s="9" t="s">
        <v>23</v>
      </c>
      <c r="C6" s="10" t="n">
        <v>30</v>
      </c>
      <c r="D6" s="10"/>
      <c r="F6" s="9" t="s">
        <v>24</v>
      </c>
      <c r="G6" s="11" t="n">
        <f aca="false">IFERROR(IF(C7="","N/D (ingrese FC reposo)",G5-C7),"")</f>
        <v>125</v>
      </c>
      <c r="H6" s="11"/>
    </row>
    <row r="7" customFormat="false" ht="27.75" hidden="false" customHeight="true" outlineLevel="0" collapsed="false">
      <c r="B7" s="9" t="s">
        <v>25</v>
      </c>
      <c r="C7" s="10" t="n">
        <v>65</v>
      </c>
      <c r="D7" s="10"/>
    </row>
    <row r="8" customFormat="false" ht="9.75" hidden="false" customHeight="true" outlineLevel="0" collapsed="false"/>
    <row r="9" customFormat="false" ht="15" hidden="false" customHeight="true" outlineLevel="0" collapsed="false">
      <c r="B9" s="7" t="s">
        <v>26</v>
      </c>
      <c r="C9" s="7"/>
      <c r="D9" s="7"/>
      <c r="E9" s="7"/>
      <c r="F9" s="7"/>
      <c r="G9" s="7"/>
      <c r="H9" s="7"/>
      <c r="I9" s="7"/>
      <c r="J9" s="7"/>
    </row>
    <row r="10" customFormat="false" ht="35.05" hidden="false" customHeight="true" outlineLevel="0" collapsed="false">
      <c r="B10" s="12" t="s">
        <v>27</v>
      </c>
      <c r="C10" s="12"/>
      <c r="D10" s="13" t="s">
        <v>28</v>
      </c>
      <c r="E10" s="13" t="s">
        <v>29</v>
      </c>
      <c r="F10" s="13" t="s">
        <v>30</v>
      </c>
      <c r="G10" s="13" t="s">
        <v>31</v>
      </c>
      <c r="H10" s="12" t="s">
        <v>32</v>
      </c>
      <c r="I10" s="12"/>
      <c r="J10" s="12"/>
    </row>
    <row r="11" customFormat="false" ht="25.5" hidden="false" customHeight="true" outlineLevel="0" collapsed="false">
      <c r="B11" s="14" t="s">
        <v>33</v>
      </c>
      <c r="C11" s="14"/>
      <c r="D11" s="15" t="n">
        <v>0.5</v>
      </c>
      <c r="E11" s="15" t="n">
        <v>0.6</v>
      </c>
      <c r="F11" s="16" t="n">
        <f aca="false">IFERROR(ROUND($G$5*D11,0),"")</f>
        <v>95</v>
      </c>
      <c r="G11" s="16" t="n">
        <f aca="false">IFERROR(ROUND($G$5*E11,0),"")</f>
        <v>114</v>
      </c>
      <c r="H11" s="17" t="s">
        <v>34</v>
      </c>
      <c r="I11" s="17"/>
      <c r="J11" s="17"/>
    </row>
    <row r="12" customFormat="false" ht="25.5" hidden="false" customHeight="true" outlineLevel="0" collapsed="false">
      <c r="B12" s="18" t="s">
        <v>35</v>
      </c>
      <c r="C12" s="18"/>
      <c r="D12" s="19" t="n">
        <v>0.6</v>
      </c>
      <c r="E12" s="19" t="n">
        <v>0.7</v>
      </c>
      <c r="F12" s="20" t="n">
        <f aca="false">IFERROR(ROUND($G$5*D12,0),"")</f>
        <v>114</v>
      </c>
      <c r="G12" s="20" t="n">
        <f aca="false">IFERROR(ROUND($G$5*E12,0),"")</f>
        <v>133</v>
      </c>
      <c r="H12" s="21" t="s">
        <v>36</v>
      </c>
      <c r="I12" s="21"/>
      <c r="J12" s="21"/>
    </row>
    <row r="13" customFormat="false" ht="25.5" hidden="false" customHeight="true" outlineLevel="0" collapsed="false">
      <c r="B13" s="22" t="s">
        <v>37</v>
      </c>
      <c r="C13" s="22"/>
      <c r="D13" s="23" t="n">
        <v>0.7</v>
      </c>
      <c r="E13" s="23" t="n">
        <v>0.8</v>
      </c>
      <c r="F13" s="24" t="n">
        <f aca="false">IFERROR(ROUND($G$5*D13,0),"")</f>
        <v>133</v>
      </c>
      <c r="G13" s="24" t="n">
        <f aca="false">IFERROR(ROUND($G$5*E13,0),"")</f>
        <v>152</v>
      </c>
      <c r="H13" s="25" t="s">
        <v>38</v>
      </c>
      <c r="I13" s="25"/>
      <c r="J13" s="25"/>
    </row>
    <row r="14" customFormat="false" ht="25.5" hidden="false" customHeight="true" outlineLevel="0" collapsed="false">
      <c r="B14" s="26" t="s">
        <v>39</v>
      </c>
      <c r="C14" s="26"/>
      <c r="D14" s="27" t="n">
        <v>0.8</v>
      </c>
      <c r="E14" s="27" t="n">
        <v>0.9</v>
      </c>
      <c r="F14" s="28" t="n">
        <f aca="false">IFERROR(ROUND($G$5*D14,0),"")</f>
        <v>152</v>
      </c>
      <c r="G14" s="28" t="n">
        <f aca="false">IFERROR(ROUND($G$5*E14,0),"")</f>
        <v>171</v>
      </c>
      <c r="H14" s="29" t="s">
        <v>40</v>
      </c>
      <c r="I14" s="29"/>
      <c r="J14" s="29"/>
    </row>
    <row r="15" customFormat="false" ht="25.5" hidden="false" customHeight="true" outlineLevel="0" collapsed="false">
      <c r="B15" s="30" t="s">
        <v>41</v>
      </c>
      <c r="C15" s="30"/>
      <c r="D15" s="31" t="n">
        <v>0.9</v>
      </c>
      <c r="E15" s="31" t="n">
        <v>1</v>
      </c>
      <c r="F15" s="32" t="n">
        <f aca="false">IFERROR(ROUND($G$5*D15,0),"")</f>
        <v>171</v>
      </c>
      <c r="G15" s="32" t="n">
        <f aca="false">IFERROR(ROUND($G$5*E15,0),"")</f>
        <v>190</v>
      </c>
      <c r="H15" s="33" t="s">
        <v>42</v>
      </c>
      <c r="I15" s="33"/>
      <c r="J15" s="33"/>
    </row>
    <row r="17" customFormat="false" ht="9.75" hidden="false" customHeight="true" outlineLevel="0" collapsed="false"/>
    <row r="18" customFormat="false" ht="15" hidden="false" customHeight="true" outlineLevel="0" collapsed="false">
      <c r="B18" s="8" t="s">
        <v>43</v>
      </c>
      <c r="C18" s="8"/>
      <c r="D18" s="8"/>
      <c r="E18" s="8"/>
      <c r="F18" s="8"/>
      <c r="G18" s="8"/>
      <c r="H18" s="8"/>
      <c r="I18" s="8"/>
      <c r="J18" s="8"/>
    </row>
    <row r="19" customFormat="false" ht="15" hidden="false" customHeight="true" outlineLevel="0" collapsed="false">
      <c r="B19" s="34" t="s">
        <v>44</v>
      </c>
      <c r="C19" s="34"/>
      <c r="D19" s="34"/>
      <c r="E19" s="34"/>
      <c r="F19" s="34"/>
      <c r="G19" s="34"/>
      <c r="H19" s="34"/>
      <c r="I19" s="34"/>
      <c r="J19" s="34"/>
    </row>
    <row r="20" customFormat="false" ht="35.05" hidden="false" customHeight="true" outlineLevel="0" collapsed="false">
      <c r="B20" s="12" t="s">
        <v>27</v>
      </c>
      <c r="C20" s="12"/>
      <c r="D20" s="13" t="s">
        <v>28</v>
      </c>
      <c r="E20" s="13" t="s">
        <v>29</v>
      </c>
      <c r="F20" s="13" t="s">
        <v>30</v>
      </c>
      <c r="G20" s="13" t="s">
        <v>31</v>
      </c>
      <c r="H20" s="12" t="s">
        <v>32</v>
      </c>
      <c r="I20" s="12"/>
      <c r="J20" s="12"/>
    </row>
    <row r="21" customFormat="false" ht="25.5" hidden="false" customHeight="true" outlineLevel="0" collapsed="false">
      <c r="B21" s="14" t="s">
        <v>33</v>
      </c>
      <c r="C21" s="14"/>
      <c r="D21" s="15" t="n">
        <v>0.5</v>
      </c>
      <c r="E21" s="15" t="n">
        <v>0.6</v>
      </c>
      <c r="F21" s="16" t="n">
        <f aca="false">IFERROR(IF($C$7="","Requiere FC reposo",ROUND($C$7+D21*($G$5-$C$7),0)),"")</f>
        <v>128</v>
      </c>
      <c r="G21" s="16" t="n">
        <f aca="false">IFERROR(IF($C$7="","Requiere FC reposo",ROUND($C$7+E21*($G$5-$C$7),0)),"")</f>
        <v>140</v>
      </c>
      <c r="H21" s="17" t="s">
        <v>34</v>
      </c>
      <c r="I21" s="17"/>
      <c r="J21" s="17"/>
    </row>
    <row r="22" customFormat="false" ht="25.5" hidden="false" customHeight="true" outlineLevel="0" collapsed="false">
      <c r="B22" s="18" t="s">
        <v>35</v>
      </c>
      <c r="C22" s="18"/>
      <c r="D22" s="19" t="n">
        <v>0.6</v>
      </c>
      <c r="E22" s="19" t="n">
        <v>0.7</v>
      </c>
      <c r="F22" s="20" t="n">
        <f aca="false">IFERROR(IF($C$7="","Requiere FC reposo",ROUND($C$7+D22*($G$5-$C$7),0)),"")</f>
        <v>140</v>
      </c>
      <c r="G22" s="20" t="n">
        <f aca="false">IFERROR(IF($C$7="","Requiere FC reposo",ROUND($C$7+E22*($G$5-$C$7),0)),"")</f>
        <v>153</v>
      </c>
      <c r="H22" s="21" t="s">
        <v>36</v>
      </c>
      <c r="I22" s="21"/>
      <c r="J22" s="21"/>
    </row>
    <row r="23" customFormat="false" ht="25.5" hidden="false" customHeight="true" outlineLevel="0" collapsed="false">
      <c r="B23" s="22" t="s">
        <v>37</v>
      </c>
      <c r="C23" s="22"/>
      <c r="D23" s="23" t="n">
        <v>0.7</v>
      </c>
      <c r="E23" s="23" t="n">
        <v>0.8</v>
      </c>
      <c r="F23" s="24" t="n">
        <f aca="false">IFERROR(IF($C$7="","Requiere FC reposo",ROUND($C$7+D23*($G$5-$C$7),0)),"")</f>
        <v>153</v>
      </c>
      <c r="G23" s="24" t="n">
        <f aca="false">IFERROR(IF($C$7="","Requiere FC reposo",ROUND($C$7+E23*($G$5-$C$7),0)),"")</f>
        <v>165</v>
      </c>
      <c r="H23" s="25" t="s">
        <v>38</v>
      </c>
      <c r="I23" s="25"/>
      <c r="J23" s="25"/>
    </row>
    <row r="24" customFormat="false" ht="25.5" hidden="false" customHeight="true" outlineLevel="0" collapsed="false">
      <c r="B24" s="26" t="s">
        <v>39</v>
      </c>
      <c r="C24" s="26"/>
      <c r="D24" s="27" t="n">
        <v>0.8</v>
      </c>
      <c r="E24" s="27" t="n">
        <v>0.9</v>
      </c>
      <c r="F24" s="28" t="n">
        <f aca="false">IFERROR(IF($C$7="","Requiere FC reposo",ROUND($C$7+D24*($G$5-$C$7),0)),"")</f>
        <v>165</v>
      </c>
      <c r="G24" s="28" t="n">
        <f aca="false">IFERROR(IF($C$7="","Requiere FC reposo",ROUND($C$7+E24*($G$5-$C$7),0)),"")</f>
        <v>178</v>
      </c>
      <c r="H24" s="29" t="s">
        <v>40</v>
      </c>
      <c r="I24" s="29"/>
      <c r="J24" s="29"/>
    </row>
    <row r="25" customFormat="false" ht="25.5" hidden="false" customHeight="true" outlineLevel="0" collapsed="false">
      <c r="B25" s="30" t="s">
        <v>41</v>
      </c>
      <c r="C25" s="30"/>
      <c r="D25" s="31" t="n">
        <v>0.9</v>
      </c>
      <c r="E25" s="31" t="n">
        <v>1</v>
      </c>
      <c r="F25" s="32" t="n">
        <f aca="false">IFERROR(IF($C$7="","Requiere FC reposo",ROUND($C$7+D25*($G$5-$C$7),0)),"")</f>
        <v>178</v>
      </c>
      <c r="G25" s="32" t="n">
        <f aca="false">IFERROR(IF($C$7="","Requiere FC reposo",ROUND($C$7+E25*($G$5-$C$7),0)),"")</f>
        <v>190</v>
      </c>
      <c r="H25" s="33" t="s">
        <v>42</v>
      </c>
      <c r="I25" s="33"/>
      <c r="J25" s="33"/>
    </row>
    <row r="27" customFormat="false" ht="9.75" hidden="false" customHeight="true" outlineLevel="0" collapsed="false"/>
    <row r="28" customFormat="false" ht="15" hidden="false" customHeight="true" outlineLevel="0" collapsed="false">
      <c r="B28" s="35" t="s">
        <v>45</v>
      </c>
      <c r="C28" s="35"/>
      <c r="D28" s="35"/>
      <c r="E28" s="35"/>
      <c r="F28" s="35"/>
      <c r="G28" s="35"/>
      <c r="H28" s="35"/>
      <c r="I28" s="35"/>
      <c r="J28" s="35"/>
    </row>
    <row r="30" customFormat="false" ht="15" hidden="false" customHeight="false" outlineLevel="0" collapsed="false">
      <c r="A30" s="5" t="s">
        <v>15</v>
      </c>
      <c r="B30" s="5"/>
      <c r="C30" s="5"/>
      <c r="D30" s="5"/>
      <c r="E30" s="5"/>
      <c r="F30" s="5"/>
      <c r="G30" s="5"/>
      <c r="H30" s="5"/>
      <c r="I30" s="5"/>
      <c r="J30" s="5"/>
    </row>
    <row r="31" customFormat="false" ht="15" hidden="false" customHeight="false" outlineLevel="0" collapsed="false">
      <c r="A31" s="6" t="s">
        <v>16</v>
      </c>
      <c r="B31" s="6"/>
      <c r="C31" s="6"/>
      <c r="D31" s="6"/>
      <c r="E31" s="6"/>
      <c r="F31" s="6"/>
      <c r="G31" s="6"/>
      <c r="H31" s="6"/>
      <c r="I31" s="6"/>
      <c r="J31" s="6"/>
    </row>
  </sheetData>
  <sheetProtection sheet="true" formatCells="false" formatColumns="false" formatRows="false"/>
  <mergeCells count="39">
    <mergeCell ref="A1:J1"/>
    <mergeCell ref="A2:J2"/>
    <mergeCell ref="B4:D4"/>
    <mergeCell ref="F4:H4"/>
    <mergeCell ref="C5:D5"/>
    <mergeCell ref="G5:H5"/>
    <mergeCell ref="C6:D6"/>
    <mergeCell ref="G6:H6"/>
    <mergeCell ref="C7:D7"/>
    <mergeCell ref="B9:J9"/>
    <mergeCell ref="B10:C10"/>
    <mergeCell ref="H10:J10"/>
    <mergeCell ref="B11:C11"/>
    <mergeCell ref="H11:J11"/>
    <mergeCell ref="B12:C12"/>
    <mergeCell ref="H12:J12"/>
    <mergeCell ref="B13:C13"/>
    <mergeCell ref="H13:J13"/>
    <mergeCell ref="B14:C14"/>
    <mergeCell ref="H14:J14"/>
    <mergeCell ref="B15:C15"/>
    <mergeCell ref="H15:J15"/>
    <mergeCell ref="B18:J18"/>
    <mergeCell ref="B19:J19"/>
    <mergeCell ref="B20:C20"/>
    <mergeCell ref="H20:J20"/>
    <mergeCell ref="B21:C21"/>
    <mergeCell ref="H21:J21"/>
    <mergeCell ref="B22:C22"/>
    <mergeCell ref="H22:J22"/>
    <mergeCell ref="B23:C23"/>
    <mergeCell ref="H23:J23"/>
    <mergeCell ref="B24:C24"/>
    <mergeCell ref="H24:J24"/>
    <mergeCell ref="B25:C25"/>
    <mergeCell ref="H25:J25"/>
    <mergeCell ref="B28:J28"/>
    <mergeCell ref="A30:J30"/>
    <mergeCell ref="A31:J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2026-10-27T17:31:27Z</dcterms:created>
  <dc:creator>openpyxl</dc:creator>
  <dc:description/>
  <dc:language>en-US</dc:language>
  <cp:lastModifiedBy/>
  <dcterms:modified xsi:type="dcterms:W3CDTF">2026-10-27T17:31:27Z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